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rit\Desktop\Solar_all_app\sunny-finance-toolkit\working-reference\"/>
    </mc:Choice>
  </mc:AlternateContent>
  <xr:revisionPtr revIDLastSave="0" documentId="13_ncr:1_{3C8506C2-67CB-42CD-81E7-CFBBA49215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fileRecoveryPr repairLoad="1"/>
</workbook>
</file>

<file path=xl/calcChain.xml><?xml version="1.0" encoding="utf-8"?>
<calcChain xmlns="http://schemas.openxmlformats.org/spreadsheetml/2006/main">
  <c r="M19" i="2" l="1"/>
  <c r="M18" i="2"/>
  <c r="D14" i="2"/>
  <c r="E14" i="2" s="1"/>
  <c r="R57" i="1"/>
  <c r="R58" i="1" s="1"/>
  <c r="R59" i="1" s="1"/>
  <c r="Q57" i="1"/>
  <c r="Q58" i="1" s="1"/>
  <c r="Q59" i="1" s="1"/>
</calcChain>
</file>

<file path=xl/sharedStrings.xml><?xml version="1.0" encoding="utf-8"?>
<sst xmlns="http://schemas.openxmlformats.org/spreadsheetml/2006/main" count="529" uniqueCount="235">
  <si>
    <t>Section</t>
  </si>
  <si>
    <t>Unit</t>
  </si>
  <si>
    <t>Quantity</t>
  </si>
  <si>
    <t>Unit Rate</t>
  </si>
  <si>
    <t>Total Amount</t>
  </si>
  <si>
    <t>Solar PV Modules</t>
  </si>
  <si>
    <t>Mounting Rails</t>
  </si>
  <si>
    <t>Roof Anchors/Ballast</t>
  </si>
  <si>
    <t>Module Clamps</t>
  </si>
  <si>
    <t>Grounding Clips</t>
  </si>
  <si>
    <t>Fasteners &amp; Hardware</t>
  </si>
  <si>
    <t>DC Cable (String)</t>
  </si>
  <si>
    <t>DC Cable (Array to DCDB)</t>
  </si>
  <si>
    <t>MC4 Connectors</t>
  </si>
  <si>
    <t>Cable Ties &amp; Clips</t>
  </si>
  <si>
    <t>Cable Trays</t>
  </si>
  <si>
    <t>DCDB Enclosure</t>
  </si>
  <si>
    <t>DC Fuses</t>
  </si>
  <si>
    <t>Fuse Holders</t>
  </si>
  <si>
    <t>DC SPD</t>
  </si>
  <si>
    <t>DC MCB/Isolator</t>
  </si>
  <si>
    <t>String Inverter</t>
  </si>
  <si>
    <t>Inverter Mounting Structure</t>
  </si>
  <si>
    <t>Weather Canopy</t>
  </si>
  <si>
    <t>AC Cable (Inverter to ACDB)</t>
  </si>
  <si>
    <t>AC Cable (ACDB to LT Panel)</t>
  </si>
  <si>
    <t>Cable Glands</t>
  </si>
  <si>
    <t>Cable Termination Kit</t>
  </si>
  <si>
    <t>ACDB Enclosure</t>
  </si>
  <si>
    <t>MCCB</t>
  </si>
  <si>
    <t>MCB</t>
  </si>
  <si>
    <t>AC SPD</t>
  </si>
  <si>
    <t>Digital Energy Meter</t>
  </si>
  <si>
    <t>Current Transformers</t>
  </si>
  <si>
    <t>Indication Lamps</t>
  </si>
  <si>
    <t>Bus Bars &amp; Hardware</t>
  </si>
  <si>
    <t>Incomer Breaker at LT Panel</t>
  </si>
  <si>
    <t>Metering CT &amp; PT</t>
  </si>
  <si>
    <t>Net Meter</t>
  </si>
  <si>
    <t>DC Earthing (Structure)</t>
  </si>
  <si>
    <t>AC Earthing</t>
  </si>
  <si>
    <t>Earth Pits</t>
  </si>
  <si>
    <t>Earth Pit Chamber</t>
  </si>
  <si>
    <t>Earthing Compound</t>
  </si>
  <si>
    <t>Earth Connectors</t>
  </si>
  <si>
    <t>Lightning Arrestor</t>
  </si>
  <si>
    <t>Down Conductor</t>
  </si>
  <si>
    <t>LA Earth Pit</t>
  </si>
  <si>
    <t>Data Logger</t>
  </si>
  <si>
    <t>Weather Station</t>
  </si>
  <si>
    <t>Remote Monitoring</t>
  </si>
  <si>
    <t>Communication Cable</t>
  </si>
  <si>
    <t>Safety Signages</t>
  </si>
  <si>
    <t>Danger Boards</t>
  </si>
  <si>
    <t>Fire Extinguisher</t>
  </si>
  <si>
    <t>First Aid Kit</t>
  </si>
  <si>
    <t>Insulation Mat</t>
  </si>
  <si>
    <t>Safety Equipment</t>
  </si>
  <si>
    <t>Installation of PV Modules</t>
  </si>
  <si>
    <t>DC Wiring &amp; Termination</t>
  </si>
  <si>
    <t>AC Wiring &amp; Termination</t>
  </si>
  <si>
    <t>Testing &amp; Commissioning</t>
  </si>
  <si>
    <t>Mono PERC/TOPCon, W, Efficiency ≥ %</t>
  </si>
  <si>
    <t>Aluminum/GI, Anodized</t>
  </si>
  <si>
    <t>As per roof type</t>
  </si>
  <si>
    <t>End &amp; Mid clamps</t>
  </si>
  <si>
    <t>Stainless steel</t>
  </si>
  <si>
    <t>SS304 grade</t>
  </si>
  <si>
    <t>Aluminum/GI</t>
  </si>
  <si>
    <t>4/6 mm² Solar cable, UV resistant</t>
  </si>
  <si>
    <t>16/25/35 mm² XLPE</t>
  </si>
  <si>
    <t>Male &amp; Female pairs</t>
  </si>
  <si>
    <t>UV resistant</t>
  </si>
  <si>
    <t>Perforated GI</t>
  </si>
  <si>
    <t>IP65, Thermoplastic/MS</t>
  </si>
  <si>
    <t>15A, 1000V DC, gPV</t>
  </si>
  <si>
    <t>1000V DC rated</t>
  </si>
  <si>
    <t>Type 2, 1000V DC</t>
  </si>
  <si>
    <t>Copper, Tinned</t>
  </si>
  <si>
    <t>___kW, 3-phase, Efficiency ≥ 98.5%</t>
  </si>
  <si>
    <t>Wall/Ground mount</t>
  </si>
  <si>
    <t>For outdoor inverters</t>
  </si>
  <si>
    <t>3.5C x ___mm² Al/Cu XLPE</t>
  </si>
  <si>
    <t>Appropriate size</t>
  </si>
  <si>
    <t>Heat shrink type</t>
  </si>
  <si>
    <t>IP54, MS Powder coated</t>
  </si>
  <si>
    <t>___A, 3P, 415V</t>
  </si>
  <si>
    <t>Type 2, 415V</t>
  </si>
  <si>
    <t>Class 1.0, RS485</t>
  </si>
  <si>
    <t>___/5A, Class 1.0</t>
  </si>
  <si>
    <t>LED type, 3-phase</t>
  </si>
  <si>
    <t>Copper/Aluminum</t>
  </si>
  <si>
    <t>___A MCCB/ACB</t>
  </si>
  <si>
    <t>As per utility requirement</t>
  </si>
  <si>
    <t>Bidirectional, DLMS compliant</t>
  </si>
  <si>
    <t>25x3mm GI Strip</t>
  </si>
  <si>
    <t>GI Pipe 40mm dia, 3m length</t>
  </si>
  <si>
    <t>With cover</t>
  </si>
  <si>
    <t>Bentonite/Chemical</t>
  </si>
  <si>
    <t>Brass/GI clamps</t>
  </si>
  <si>
    <t>ESE/Conventional</t>
  </si>
  <si>
    <t>50mm² Cu/70mm² Al</t>
  </si>
  <si>
    <t>Separate earth pit</t>
  </si>
  <si>
    <t>With RS485/Ethernet</t>
  </si>
  <si>
    <t>Irradiation, Temp, Wind</t>
  </si>
  <si>
    <t>Cloud-based platform</t>
  </si>
  <si>
    <t>CAT6/RS485</t>
  </si>
  <si>
    <t>Reflective type</t>
  </si>
  <si>
    <t>Standard size</t>
  </si>
  <si>
    <t>CO2 type, 4.5kg</t>
  </si>
  <si>
    <t>Standard</t>
  </si>
  <si>
    <t>IS grade</t>
  </si>
  <si>
    <t>Gloves, Helmet, etc.</t>
  </si>
  <si>
    <t>Including mounting</t>
  </si>
  <si>
    <t>Complete DC side</t>
  </si>
  <si>
    <t>Complete AC side</t>
  </si>
  <si>
    <t>Complete system</t>
  </si>
  <si>
    <t>Nos</t>
  </si>
  <si>
    <t>Set</t>
  </si>
  <si>
    <t>kg/m</t>
  </si>
  <si>
    <t>m²</t>
  </si>
  <si>
    <t>m</t>
  </si>
  <si>
    <t>Pairs</t>
  </si>
  <si>
    <t>kg</t>
  </si>
  <si>
    <t>LS</t>
  </si>
  <si>
    <t>DC Bus Bars &amp; Terminals for DCDB</t>
  </si>
  <si>
    <t>Columns</t>
  </si>
  <si>
    <t>MMS Foundation</t>
  </si>
  <si>
    <t>RCC/Ramming/Screw pile</t>
  </si>
  <si>
    <t>Nos/MT</t>
  </si>
  <si>
    <t>Vertical Posts</t>
  </si>
  <si>
    <t>HDG Steel, C-channel/I-section</t>
  </si>
  <si>
    <t>MT</t>
  </si>
  <si>
    <t>Purlins/Rails</t>
  </si>
  <si>
    <t>HDG Steel, C-channel</t>
  </si>
  <si>
    <t>Walkways</t>
  </si>
  <si>
    <t>Safetylines</t>
  </si>
  <si>
    <t>fetch from detailed summary</t>
  </si>
  <si>
    <t>calculated &amp; estimated</t>
  </si>
  <si>
    <t>constant</t>
  </si>
  <si>
    <t>get it from design summary tab</t>
  </si>
  <si>
    <t>refer to total string numbers and strings input per inverter</t>
  </si>
  <si>
    <t>refer to pv mounting structural type, total qty of such pv mounting structure</t>
  </si>
  <si>
    <t>refer to SCB/DCDB to inverter dc cable length</t>
  </si>
  <si>
    <t>refer to PV area dimension and shape</t>
  </si>
  <si>
    <t>refer to inverter qty</t>
  </si>
  <si>
    <t>refer to AC combiner panel details &amp; qty</t>
  </si>
  <si>
    <t>refer to outgoing breaker of LV combiner panel</t>
  </si>
  <si>
    <t>refer to AC combiner panel output current rating</t>
  </si>
  <si>
    <t>refer to PV ysstem's AC side total output current and voltage level</t>
  </si>
  <si>
    <t>get it from design summary tab - cable config details</t>
  </si>
  <si>
    <t>refer to number of inverters/LV combiner panel and total no of LV combiner panel</t>
  </si>
  <si>
    <t>refer to overall AC system configuration in design summary</t>
  </si>
  <si>
    <t>refer to overall PV system configuration in design summary</t>
  </si>
  <si>
    <t>As per IEC standard</t>
  </si>
  <si>
    <t>1 per system</t>
  </si>
  <si>
    <t>usually 2 per system, 1 is check meter and the other one is main meter</t>
  </si>
  <si>
    <t>AS per IEC standard and Project Overall DC and AC configuration details</t>
  </si>
  <si>
    <t>refer to total nos of pv modules in the system</t>
  </si>
  <si>
    <t>String Fuses</t>
  </si>
  <si>
    <t>20/25A, 1500V DC</t>
  </si>
  <si>
    <t>as per industry's standard estimation and application methodology based on the project capacity and equipment and circuit details which can be fetched from design summary tab</t>
  </si>
  <si>
    <t>DC Contactors</t>
  </si>
  <si>
    <t>For combiner boxes</t>
  </si>
  <si>
    <t>For transformers</t>
  </si>
  <si>
    <t>Cable Joints</t>
  </si>
  <si>
    <t>Emergency stock</t>
  </si>
  <si>
    <t>Sets</t>
  </si>
  <si>
    <t>Inverter Cooling Fans</t>
  </si>
  <si>
    <t>Replacement</t>
  </si>
  <si>
    <t>LV Fuses</t>
  </si>
  <si>
    <t>1. Solar PV Module and accessories</t>
  </si>
  <si>
    <t xml:space="preserve">2. Module Mounting Structure (MMS) </t>
  </si>
  <si>
    <t>3. DC Cable and accessories</t>
  </si>
  <si>
    <t>4. DC Combiner Box and Accessories (DCDB)</t>
  </si>
  <si>
    <t>5. AC SIDE COMPONENTS</t>
  </si>
  <si>
    <t>6. EARTHING &amp; LIGHTNING PROTECTION</t>
  </si>
  <si>
    <t>7. METERING &amp; MONITORING SYSTEM</t>
  </si>
  <si>
    <t>8. SAFETY &amp; MISCELLANEOUS</t>
  </si>
  <si>
    <t>9. INSTALLATION &amp; COMMISSIONING</t>
  </si>
  <si>
    <t>10. SPARE PARTS</t>
  </si>
  <si>
    <t>Description/ Item Name</t>
  </si>
  <si>
    <t>Specification (dummy/fallback specs)</t>
  </si>
  <si>
    <t>data fetching method</t>
  </si>
  <si>
    <t>probable approx brief logic</t>
  </si>
  <si>
    <t>ballasts</t>
  </si>
  <si>
    <t>number Of String Inverters</t>
  </si>
  <si>
    <t>inverter Output Voltage V</t>
  </si>
  <si>
    <t>inverter Output Current A</t>
  </si>
  <si>
    <t>N/A</t>
  </si>
  <si>
    <t>inverters Per L V Combiner Panel</t>
  </si>
  <si>
    <t>total L V Combiner Panels</t>
  </si>
  <si>
    <t>distance Combiner To Po C M</t>
  </si>
  <si>
    <t>ac Cable Cross Section Combiner To Po C Mm2</t>
  </si>
  <si>
    <t>quantity Of I D Ts</t>
  </si>
  <si>
    <t>idt Input Voltage V</t>
  </si>
  <si>
    <t>idt Input Current A</t>
  </si>
  <si>
    <t>idt Output Voltage V</t>
  </si>
  <si>
    <t>idt Output Current A</t>
  </si>
  <si>
    <t>quantity Of P Ts</t>
  </si>
  <si>
    <t>pt Input Voltage V</t>
  </si>
  <si>
    <t>pt Input Current A</t>
  </si>
  <si>
    <t>pt Output Voltage V</t>
  </si>
  <si>
    <t>pt Output Current A</t>
  </si>
  <si>
    <t>distance Inverter To Combiner M</t>
  </si>
  <si>
    <t>ac Cable Cross Section Inverter To Combiner Mm2</t>
  </si>
  <si>
    <t>distance Combiner To I D T M</t>
  </si>
  <si>
    <t>cable Size Combiner To I D T Mm2</t>
  </si>
  <si>
    <t>distance I D T To P T M</t>
  </si>
  <si>
    <t>cable Size I D T To P T Mm2</t>
  </si>
  <si>
    <t>distance P T To Po C M</t>
  </si>
  <si>
    <t>cable Size P T To Po C Mm2</t>
  </si>
  <si>
    <t>transformer M V A Rating</t>
  </si>
  <si>
    <t>transformer Percentage Impedance</t>
  </si>
  <si>
    <t>combiner Income Breaker Rating A</t>
  </si>
  <si>
    <t>combiner Outgoing Breaker Rating A</t>
  </si>
  <si>
    <t>cb Type Inverter To I D T</t>
  </si>
  <si>
    <t>cb Rating Inverter To I D T A</t>
  </si>
  <si>
    <t>cb Type I D T To P T</t>
  </si>
  <si>
    <t>VCB</t>
  </si>
  <si>
    <t>cb Rating I D T To P T A</t>
  </si>
  <si>
    <t>cb Type P T To Po C</t>
  </si>
  <si>
    <t>cb Rating P T To Po C A</t>
  </si>
  <si>
    <t>r</t>
  </si>
  <si>
    <t>f</t>
  </si>
  <si>
    <t>na</t>
  </si>
  <si>
    <t>w</t>
  </si>
  <si>
    <t>hv String Inverter</t>
  </si>
  <si>
    <t>cb Type Inverter To LV Combiner panel</t>
  </si>
  <si>
    <t>cb Rating Inverter To LV Combiner panel A</t>
  </si>
  <si>
    <t>cable Size Inverter To I D T Mm2</t>
  </si>
  <si>
    <t>1R*185</t>
  </si>
  <si>
    <t>1R*240</t>
  </si>
  <si>
    <t>cb Type Central Inverter To I D T</t>
  </si>
  <si>
    <t>cb Rating Central Inverter To I D 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</si>
</sst>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B5563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zoomScale="98" zoomScaleNormal="98" workbookViewId="0">
      <selection activeCell="AC24" sqref="AC24"/>
    </sheetView>
  </sheetViews>
  <sheetFormatPr defaultRowHeight="14.4" x14ac:dyDescent="0.3"/>
  <cols>
    <col min="1" max="1" width="23.44140625" customWidth="1"/>
    <col min="2" max="2" width="27.33203125" customWidth="1"/>
    <col min="3" max="3" width="38.77734375" customWidth="1"/>
    <col min="4" max="5" width="15.33203125" customWidth="1"/>
    <col min="6" max="6" width="34.6640625" customWidth="1"/>
    <col min="7" max="9" width="15.33203125" customWidth="1"/>
    <col min="11" max="12" width="0" hidden="1" customWidth="1"/>
    <col min="14" max="14" width="45.109375" customWidth="1"/>
  </cols>
  <sheetData>
    <row r="1" spans="1:16" x14ac:dyDescent="0.3">
      <c r="A1" s="1" t="s">
        <v>0</v>
      </c>
      <c r="B1" s="1" t="s">
        <v>181</v>
      </c>
      <c r="C1" s="1" t="s">
        <v>182</v>
      </c>
      <c r="D1" s="1" t="s">
        <v>1</v>
      </c>
      <c r="E1" s="1" t="s">
        <v>183</v>
      </c>
      <c r="F1" s="1" t="s">
        <v>184</v>
      </c>
      <c r="G1" s="1" t="s">
        <v>2</v>
      </c>
      <c r="H1" s="1" t="s">
        <v>3</v>
      </c>
      <c r="I1" s="1" t="s">
        <v>4</v>
      </c>
      <c r="N1" t="s">
        <v>188</v>
      </c>
      <c r="O1" s="8" t="s">
        <v>189</v>
      </c>
      <c r="P1" t="s">
        <v>224</v>
      </c>
    </row>
    <row r="2" spans="1:16" x14ac:dyDescent="0.3">
      <c r="A2" s="10" t="s">
        <v>171</v>
      </c>
      <c r="B2" t="s">
        <v>5</v>
      </c>
      <c r="C2" t="s">
        <v>62</v>
      </c>
      <c r="D2" t="s">
        <v>117</v>
      </c>
      <c r="E2" t="s">
        <v>137</v>
      </c>
      <c r="F2" t="s">
        <v>140</v>
      </c>
      <c r="K2" t="s">
        <v>137</v>
      </c>
      <c r="N2" t="s">
        <v>196</v>
      </c>
      <c r="O2" s="8" t="s">
        <v>189</v>
      </c>
      <c r="P2" t="s">
        <v>224</v>
      </c>
    </row>
    <row r="3" spans="1:16" x14ac:dyDescent="0.3">
      <c r="A3" s="9"/>
      <c r="B3" t="s">
        <v>13</v>
      </c>
      <c r="C3" t="s">
        <v>71</v>
      </c>
      <c r="D3" t="s">
        <v>122</v>
      </c>
      <c r="E3" t="s">
        <v>138</v>
      </c>
      <c r="F3" t="s">
        <v>141</v>
      </c>
      <c r="K3" t="s">
        <v>138</v>
      </c>
      <c r="N3" t="s">
        <v>198</v>
      </c>
      <c r="O3" s="8" t="s">
        <v>189</v>
      </c>
      <c r="P3" t="s">
        <v>224</v>
      </c>
    </row>
    <row r="4" spans="1:16" x14ac:dyDescent="0.3">
      <c r="A4" s="9" t="s">
        <v>172</v>
      </c>
      <c r="B4" t="s">
        <v>127</v>
      </c>
      <c r="C4" t="s">
        <v>128</v>
      </c>
      <c r="D4" t="s">
        <v>129</v>
      </c>
      <c r="E4" t="s">
        <v>138</v>
      </c>
      <c r="F4" t="s">
        <v>142</v>
      </c>
      <c r="K4" t="s">
        <v>139</v>
      </c>
      <c r="N4" t="s">
        <v>201</v>
      </c>
      <c r="O4" s="8" t="s">
        <v>189</v>
      </c>
      <c r="P4" t="s">
        <v>224</v>
      </c>
    </row>
    <row r="5" spans="1:16" x14ac:dyDescent="0.3">
      <c r="A5" s="9"/>
      <c r="B5" t="s">
        <v>185</v>
      </c>
      <c r="D5" t="s">
        <v>129</v>
      </c>
      <c r="E5" t="s">
        <v>138</v>
      </c>
      <c r="F5" t="s">
        <v>142</v>
      </c>
      <c r="N5" t="s">
        <v>203</v>
      </c>
      <c r="O5" s="8" t="s">
        <v>189</v>
      </c>
      <c r="P5" t="s">
        <v>224</v>
      </c>
    </row>
    <row r="6" spans="1:16" x14ac:dyDescent="0.3">
      <c r="A6" s="9"/>
      <c r="B6" t="s">
        <v>130</v>
      </c>
      <c r="C6" t="s">
        <v>131</v>
      </c>
      <c r="D6" t="s">
        <v>132</v>
      </c>
      <c r="E6" t="s">
        <v>138</v>
      </c>
      <c r="F6" t="s">
        <v>142</v>
      </c>
      <c r="N6" t="s">
        <v>213</v>
      </c>
      <c r="O6" s="8">
        <v>6</v>
      </c>
      <c r="P6" t="s">
        <v>121</v>
      </c>
    </row>
    <row r="7" spans="1:16" x14ac:dyDescent="0.3">
      <c r="A7" s="9"/>
      <c r="B7" t="s">
        <v>133</v>
      </c>
      <c r="C7" t="s">
        <v>134</v>
      </c>
      <c r="D7" t="s">
        <v>132</v>
      </c>
      <c r="E7" t="s">
        <v>138</v>
      </c>
      <c r="F7" t="s">
        <v>142</v>
      </c>
      <c r="N7" t="s">
        <v>192</v>
      </c>
      <c r="O7" s="8">
        <v>100</v>
      </c>
      <c r="P7" t="s">
        <v>225</v>
      </c>
    </row>
    <row r="8" spans="1:16" x14ac:dyDescent="0.3">
      <c r="A8" s="9"/>
      <c r="B8" t="s">
        <v>126</v>
      </c>
      <c r="E8" t="s">
        <v>138</v>
      </c>
      <c r="F8" t="s">
        <v>142</v>
      </c>
      <c r="N8" t="s">
        <v>193</v>
      </c>
      <c r="O8" s="8">
        <v>50</v>
      </c>
      <c r="P8" t="s">
        <v>225</v>
      </c>
    </row>
    <row r="9" spans="1:16" x14ac:dyDescent="0.3">
      <c r="A9" s="9"/>
      <c r="B9" t="s">
        <v>6</v>
      </c>
      <c r="C9" t="s">
        <v>63</v>
      </c>
      <c r="D9" t="s">
        <v>119</v>
      </c>
      <c r="E9" t="s">
        <v>138</v>
      </c>
      <c r="F9" t="s">
        <v>142</v>
      </c>
      <c r="N9" t="s">
        <v>186</v>
      </c>
      <c r="O9" s="8">
        <v>4</v>
      </c>
      <c r="P9" t="s">
        <v>223</v>
      </c>
    </row>
    <row r="10" spans="1:16" x14ac:dyDescent="0.3">
      <c r="A10" s="9"/>
      <c r="B10" t="s">
        <v>7</v>
      </c>
      <c r="C10" t="s">
        <v>64</v>
      </c>
      <c r="D10" t="s">
        <v>117</v>
      </c>
      <c r="E10" t="s">
        <v>138</v>
      </c>
      <c r="F10" t="s">
        <v>142</v>
      </c>
      <c r="N10" t="s">
        <v>187</v>
      </c>
      <c r="O10" s="8">
        <v>400</v>
      </c>
      <c r="P10" t="s">
        <v>223</v>
      </c>
    </row>
    <row r="11" spans="1:16" x14ac:dyDescent="0.3">
      <c r="A11" s="9"/>
      <c r="B11" t="s">
        <v>8</v>
      </c>
      <c r="C11" t="s">
        <v>65</v>
      </c>
      <c r="D11" t="s">
        <v>117</v>
      </c>
      <c r="E11" t="s">
        <v>138</v>
      </c>
      <c r="F11" t="s">
        <v>142</v>
      </c>
      <c r="N11" t="s">
        <v>190</v>
      </c>
      <c r="O11" s="8">
        <v>4</v>
      </c>
      <c r="P11" t="s">
        <v>223</v>
      </c>
    </row>
    <row r="12" spans="1:16" x14ac:dyDescent="0.3">
      <c r="A12" s="9"/>
      <c r="B12" t="s">
        <v>9</v>
      </c>
      <c r="C12" t="s">
        <v>66</v>
      </c>
      <c r="D12" t="s">
        <v>117</v>
      </c>
      <c r="E12" t="s">
        <v>138</v>
      </c>
      <c r="F12" t="s">
        <v>142</v>
      </c>
      <c r="N12" t="s">
        <v>191</v>
      </c>
      <c r="O12" s="8">
        <v>1</v>
      </c>
      <c r="P12" t="s">
        <v>223</v>
      </c>
    </row>
    <row r="13" spans="1:16" x14ac:dyDescent="0.3">
      <c r="A13" s="9"/>
      <c r="B13" t="s">
        <v>10</v>
      </c>
      <c r="C13" t="s">
        <v>67</v>
      </c>
      <c r="D13" t="s">
        <v>118</v>
      </c>
      <c r="E13" t="s">
        <v>138</v>
      </c>
      <c r="F13" t="s">
        <v>142</v>
      </c>
      <c r="N13" t="s">
        <v>194</v>
      </c>
      <c r="O13" s="8">
        <v>1</v>
      </c>
      <c r="P13" t="s">
        <v>223</v>
      </c>
    </row>
    <row r="14" spans="1:16" x14ac:dyDescent="0.3">
      <c r="A14" s="9" t="s">
        <v>173</v>
      </c>
      <c r="B14" t="s">
        <v>11</v>
      </c>
      <c r="C14" t="s">
        <v>69</v>
      </c>
      <c r="D14" t="s">
        <v>121</v>
      </c>
      <c r="E14" t="s">
        <v>137</v>
      </c>
      <c r="F14" t="s">
        <v>140</v>
      </c>
      <c r="N14" t="s">
        <v>195</v>
      </c>
      <c r="O14" s="8">
        <v>400</v>
      </c>
      <c r="P14" t="s">
        <v>223</v>
      </c>
    </row>
    <row r="15" spans="1:16" x14ac:dyDescent="0.3">
      <c r="A15" s="9"/>
      <c r="B15" t="s">
        <v>12</v>
      </c>
      <c r="C15" t="s">
        <v>70</v>
      </c>
      <c r="D15" t="s">
        <v>121</v>
      </c>
      <c r="E15" t="s">
        <v>137</v>
      </c>
      <c r="F15" t="s">
        <v>140</v>
      </c>
      <c r="N15" t="s">
        <v>197</v>
      </c>
      <c r="O15" s="8">
        <v>11000</v>
      </c>
      <c r="P15" t="s">
        <v>223</v>
      </c>
    </row>
    <row r="16" spans="1:16" x14ac:dyDescent="0.3">
      <c r="A16" s="9"/>
      <c r="B16" t="s">
        <v>14</v>
      </c>
      <c r="C16" t="s">
        <v>72</v>
      </c>
      <c r="D16" t="s">
        <v>117</v>
      </c>
      <c r="E16" t="s">
        <v>138</v>
      </c>
      <c r="N16" t="s">
        <v>199</v>
      </c>
      <c r="O16" s="8">
        <v>1</v>
      </c>
      <c r="P16" t="s">
        <v>223</v>
      </c>
    </row>
    <row r="17" spans="1:16" x14ac:dyDescent="0.3">
      <c r="A17" s="9"/>
      <c r="B17" t="s">
        <v>15</v>
      </c>
      <c r="C17" t="s">
        <v>73</v>
      </c>
      <c r="D17" t="s">
        <v>121</v>
      </c>
      <c r="E17" t="s">
        <v>138</v>
      </c>
      <c r="F17" t="s">
        <v>143</v>
      </c>
      <c r="N17" t="s">
        <v>200</v>
      </c>
      <c r="O17" s="8">
        <v>33000</v>
      </c>
      <c r="P17" t="s">
        <v>223</v>
      </c>
    </row>
    <row r="18" spans="1:16" x14ac:dyDescent="0.3">
      <c r="A18" s="9"/>
      <c r="B18" t="s">
        <v>135</v>
      </c>
      <c r="C18" t="s">
        <v>68</v>
      </c>
      <c r="D18" t="s">
        <v>120</v>
      </c>
      <c r="E18" t="s">
        <v>138</v>
      </c>
      <c r="F18" t="s">
        <v>144</v>
      </c>
      <c r="N18" t="s">
        <v>202</v>
      </c>
      <c r="O18" s="8">
        <v>11000</v>
      </c>
      <c r="P18" t="s">
        <v>223</v>
      </c>
    </row>
    <row r="19" spans="1:16" x14ac:dyDescent="0.3">
      <c r="A19" s="9"/>
      <c r="B19" t="s">
        <v>136</v>
      </c>
      <c r="E19" t="s">
        <v>138</v>
      </c>
      <c r="N19" t="s">
        <v>205</v>
      </c>
      <c r="O19" s="8">
        <v>16</v>
      </c>
      <c r="P19" t="s">
        <v>223</v>
      </c>
    </row>
    <row r="20" spans="1:16" x14ac:dyDescent="0.3">
      <c r="A20" s="9" t="s">
        <v>174</v>
      </c>
      <c r="B20" t="s">
        <v>16</v>
      </c>
      <c r="C20" t="s">
        <v>74</v>
      </c>
      <c r="D20" t="s">
        <v>117</v>
      </c>
      <c r="E20" t="s">
        <v>137</v>
      </c>
      <c r="F20" t="s">
        <v>140</v>
      </c>
      <c r="N20" t="s">
        <v>208</v>
      </c>
      <c r="O20" s="8">
        <v>100</v>
      </c>
      <c r="P20" t="s">
        <v>223</v>
      </c>
    </row>
    <row r="21" spans="1:16" x14ac:dyDescent="0.3">
      <c r="A21" s="9"/>
      <c r="B21" t="s">
        <v>17</v>
      </c>
      <c r="C21" t="s">
        <v>75</v>
      </c>
      <c r="D21" t="s">
        <v>117</v>
      </c>
      <c r="E21" t="s">
        <v>137</v>
      </c>
      <c r="F21" t="s">
        <v>140</v>
      </c>
      <c r="N21" t="s">
        <v>210</v>
      </c>
      <c r="O21" s="8">
        <v>100</v>
      </c>
      <c r="P21" t="s">
        <v>223</v>
      </c>
    </row>
    <row r="22" spans="1:16" x14ac:dyDescent="0.3">
      <c r="A22" s="9"/>
      <c r="B22" t="s">
        <v>18</v>
      </c>
      <c r="C22" t="s">
        <v>76</v>
      </c>
      <c r="D22" t="s">
        <v>117</v>
      </c>
      <c r="E22" t="s">
        <v>137</v>
      </c>
      <c r="F22" t="s">
        <v>140</v>
      </c>
      <c r="N22" t="s">
        <v>212</v>
      </c>
      <c r="O22" s="8">
        <v>0.13200000000000001</v>
      </c>
      <c r="P22" t="s">
        <v>223</v>
      </c>
    </row>
    <row r="23" spans="1:16" x14ac:dyDescent="0.3">
      <c r="A23" s="9"/>
      <c r="B23" t="s">
        <v>19</v>
      </c>
      <c r="C23" t="s">
        <v>77</v>
      </c>
      <c r="D23" t="s">
        <v>117</v>
      </c>
      <c r="E23" t="s">
        <v>137</v>
      </c>
      <c r="F23" t="s">
        <v>140</v>
      </c>
      <c r="N23" t="s">
        <v>218</v>
      </c>
      <c r="O23" s="8" t="s">
        <v>219</v>
      </c>
      <c r="P23" t="s">
        <v>223</v>
      </c>
    </row>
    <row r="24" spans="1:16" x14ac:dyDescent="0.3">
      <c r="A24" s="9"/>
      <c r="B24" t="s">
        <v>20</v>
      </c>
      <c r="C24" t="s">
        <v>76</v>
      </c>
      <c r="D24" t="s">
        <v>117</v>
      </c>
      <c r="E24" t="s">
        <v>137</v>
      </c>
      <c r="F24" t="s">
        <v>140</v>
      </c>
      <c r="N24" t="s">
        <v>220</v>
      </c>
      <c r="O24" s="8">
        <v>630</v>
      </c>
      <c r="P24" t="s">
        <v>223</v>
      </c>
    </row>
    <row r="25" spans="1:16" x14ac:dyDescent="0.3">
      <c r="A25" s="9"/>
      <c r="B25" t="s">
        <v>125</v>
      </c>
      <c r="C25" t="s">
        <v>78</v>
      </c>
      <c r="D25" t="s">
        <v>118</v>
      </c>
      <c r="E25" t="s">
        <v>137</v>
      </c>
      <c r="F25" t="s">
        <v>140</v>
      </c>
      <c r="N25" t="s">
        <v>221</v>
      </c>
      <c r="O25" s="8" t="s">
        <v>219</v>
      </c>
      <c r="P25" t="s">
        <v>223</v>
      </c>
    </row>
    <row r="26" spans="1:16" x14ac:dyDescent="0.3">
      <c r="A26" s="9" t="s">
        <v>175</v>
      </c>
      <c r="B26" t="s">
        <v>21</v>
      </c>
      <c r="C26" t="s">
        <v>79</v>
      </c>
      <c r="D26" t="s">
        <v>117</v>
      </c>
      <c r="E26" t="s">
        <v>137</v>
      </c>
      <c r="F26" t="s">
        <v>140</v>
      </c>
      <c r="N26" t="s">
        <v>222</v>
      </c>
      <c r="O26" s="8">
        <v>630</v>
      </c>
      <c r="P26" t="s">
        <v>223</v>
      </c>
    </row>
    <row r="27" spans="1:16" x14ac:dyDescent="0.3">
      <c r="A27" s="9"/>
      <c r="B27" t="s">
        <v>22</v>
      </c>
      <c r="C27" t="s">
        <v>80</v>
      </c>
      <c r="D27" t="s">
        <v>118</v>
      </c>
      <c r="E27" t="s">
        <v>138</v>
      </c>
      <c r="F27" t="s">
        <v>145</v>
      </c>
      <c r="N27" t="s">
        <v>204</v>
      </c>
      <c r="O27" s="8">
        <v>50</v>
      </c>
      <c r="P27" t="s">
        <v>226</v>
      </c>
    </row>
    <row r="28" spans="1:16" x14ac:dyDescent="0.3">
      <c r="A28" s="9"/>
      <c r="B28" t="s">
        <v>23</v>
      </c>
      <c r="C28" t="s">
        <v>81</v>
      </c>
      <c r="D28" t="s">
        <v>117</v>
      </c>
      <c r="E28" t="s">
        <v>138</v>
      </c>
      <c r="F28" t="s">
        <v>145</v>
      </c>
      <c r="N28" t="s">
        <v>206</v>
      </c>
      <c r="O28" s="8">
        <v>200</v>
      </c>
      <c r="P28" t="s">
        <v>226</v>
      </c>
    </row>
    <row r="29" spans="1:16" x14ac:dyDescent="0.3">
      <c r="A29" s="9"/>
      <c r="B29" t="s">
        <v>28</v>
      </c>
      <c r="C29" t="s">
        <v>85</v>
      </c>
      <c r="D29" t="s">
        <v>117</v>
      </c>
      <c r="E29" t="s">
        <v>138</v>
      </c>
      <c r="F29" t="s">
        <v>146</v>
      </c>
      <c r="N29" t="s">
        <v>207</v>
      </c>
      <c r="O29" s="8">
        <v>95</v>
      </c>
      <c r="P29" t="s">
        <v>226</v>
      </c>
    </row>
    <row r="30" spans="1:16" x14ac:dyDescent="0.3">
      <c r="A30" s="9"/>
      <c r="B30" t="s">
        <v>29</v>
      </c>
      <c r="C30" t="s">
        <v>86</v>
      </c>
      <c r="D30" t="s">
        <v>117</v>
      </c>
      <c r="E30" t="s">
        <v>137</v>
      </c>
      <c r="F30" t="s">
        <v>146</v>
      </c>
      <c r="N30" t="s">
        <v>209</v>
      </c>
      <c r="O30" s="8">
        <v>185</v>
      </c>
      <c r="P30" t="s">
        <v>226</v>
      </c>
    </row>
    <row r="31" spans="1:16" x14ac:dyDescent="0.3">
      <c r="A31" s="9"/>
      <c r="B31" t="s">
        <v>30</v>
      </c>
      <c r="C31" t="s">
        <v>86</v>
      </c>
      <c r="D31" t="s">
        <v>117</v>
      </c>
      <c r="E31" t="s">
        <v>137</v>
      </c>
      <c r="F31" t="s">
        <v>146</v>
      </c>
      <c r="N31" t="s">
        <v>211</v>
      </c>
      <c r="O31" s="8">
        <v>240</v>
      </c>
      <c r="P31" t="s">
        <v>226</v>
      </c>
    </row>
    <row r="32" spans="1:16" x14ac:dyDescent="0.3">
      <c r="A32" s="9"/>
      <c r="B32" t="s">
        <v>31</v>
      </c>
      <c r="C32" t="s">
        <v>87</v>
      </c>
      <c r="D32" t="s">
        <v>117</v>
      </c>
      <c r="E32" t="s">
        <v>138</v>
      </c>
      <c r="F32" t="s">
        <v>146</v>
      </c>
      <c r="N32" t="s">
        <v>214</v>
      </c>
      <c r="O32" s="8">
        <v>100</v>
      </c>
      <c r="P32" t="s">
        <v>226</v>
      </c>
    </row>
    <row r="33" spans="1:16" x14ac:dyDescent="0.3">
      <c r="A33" s="9"/>
      <c r="B33" t="s">
        <v>32</v>
      </c>
      <c r="C33" t="s">
        <v>88</v>
      </c>
      <c r="D33" t="s">
        <v>117</v>
      </c>
      <c r="E33" t="s">
        <v>138</v>
      </c>
      <c r="F33" t="s">
        <v>146</v>
      </c>
      <c r="N33" t="s">
        <v>215</v>
      </c>
      <c r="O33" s="8">
        <v>63</v>
      </c>
      <c r="P33" t="s">
        <v>226</v>
      </c>
    </row>
    <row r="34" spans="1:16" x14ac:dyDescent="0.3">
      <c r="A34" s="9"/>
      <c r="B34" t="s">
        <v>33</v>
      </c>
      <c r="C34" t="s">
        <v>89</v>
      </c>
      <c r="D34" t="s">
        <v>118</v>
      </c>
      <c r="E34" t="s">
        <v>138</v>
      </c>
      <c r="F34" t="s">
        <v>146</v>
      </c>
      <c r="N34" t="s">
        <v>216</v>
      </c>
      <c r="O34" s="8" t="s">
        <v>29</v>
      </c>
      <c r="P34" t="s">
        <v>225</v>
      </c>
    </row>
    <row r="35" spans="1:16" x14ac:dyDescent="0.3">
      <c r="A35" s="9"/>
      <c r="B35" t="s">
        <v>34</v>
      </c>
      <c r="C35" t="s">
        <v>90</v>
      </c>
      <c r="D35" t="s">
        <v>118</v>
      </c>
      <c r="E35" t="s">
        <v>138</v>
      </c>
      <c r="F35" t="s">
        <v>146</v>
      </c>
      <c r="N35" t="s">
        <v>217</v>
      </c>
      <c r="O35" s="8">
        <v>400</v>
      </c>
      <c r="P35" t="s">
        <v>225</v>
      </c>
    </row>
    <row r="36" spans="1:16" x14ac:dyDescent="0.3">
      <c r="A36" s="9"/>
      <c r="B36" t="s">
        <v>35</v>
      </c>
      <c r="C36" t="s">
        <v>91</v>
      </c>
      <c r="D36" t="s">
        <v>118</v>
      </c>
      <c r="E36" t="s">
        <v>138</v>
      </c>
      <c r="F36" t="s">
        <v>148</v>
      </c>
      <c r="N36" t="s">
        <v>228</v>
      </c>
    </row>
    <row r="37" spans="1:16" x14ac:dyDescent="0.3">
      <c r="A37" s="9"/>
      <c r="B37" t="s">
        <v>36</v>
      </c>
      <c r="C37" t="s">
        <v>92</v>
      </c>
      <c r="D37" t="s">
        <v>117</v>
      </c>
      <c r="E37" t="s">
        <v>138</v>
      </c>
      <c r="F37" t="s">
        <v>147</v>
      </c>
      <c r="N37" t="s">
        <v>229</v>
      </c>
    </row>
    <row r="38" spans="1:16" x14ac:dyDescent="0.3">
      <c r="A38" s="9"/>
      <c r="B38" t="s">
        <v>37</v>
      </c>
      <c r="C38" t="s">
        <v>93</v>
      </c>
      <c r="D38" t="s">
        <v>118</v>
      </c>
      <c r="E38" t="s">
        <v>138</v>
      </c>
      <c r="F38" t="s">
        <v>149</v>
      </c>
    </row>
    <row r="39" spans="1:16" x14ac:dyDescent="0.3">
      <c r="A39" s="9"/>
      <c r="B39" t="s">
        <v>24</v>
      </c>
      <c r="C39" t="s">
        <v>82</v>
      </c>
      <c r="D39" t="s">
        <v>121</v>
      </c>
      <c r="E39" t="s">
        <v>137</v>
      </c>
      <c r="F39" t="s">
        <v>150</v>
      </c>
    </row>
    <row r="40" spans="1:16" x14ac:dyDescent="0.3">
      <c r="A40" s="9"/>
      <c r="B40" t="s">
        <v>25</v>
      </c>
      <c r="C40" t="s">
        <v>82</v>
      </c>
      <c r="D40" t="s">
        <v>121</v>
      </c>
      <c r="E40" t="s">
        <v>137</v>
      </c>
      <c r="F40" t="s">
        <v>150</v>
      </c>
    </row>
    <row r="41" spans="1:16" x14ac:dyDescent="0.3">
      <c r="A41" s="9"/>
      <c r="B41" t="s">
        <v>26</v>
      </c>
      <c r="C41" t="s">
        <v>83</v>
      </c>
      <c r="D41" t="s">
        <v>117</v>
      </c>
      <c r="E41" t="s">
        <v>138</v>
      </c>
      <c r="F41" t="s">
        <v>151</v>
      </c>
    </row>
    <row r="42" spans="1:16" x14ac:dyDescent="0.3">
      <c r="A42" s="9"/>
      <c r="B42" t="s">
        <v>27</v>
      </c>
      <c r="C42" t="s">
        <v>84</v>
      </c>
      <c r="D42" t="s">
        <v>118</v>
      </c>
      <c r="E42" t="s">
        <v>138</v>
      </c>
      <c r="F42" t="s">
        <v>151</v>
      </c>
    </row>
    <row r="43" spans="1:16" x14ac:dyDescent="0.3">
      <c r="A43" s="9" t="s">
        <v>176</v>
      </c>
      <c r="B43" t="s">
        <v>39</v>
      </c>
      <c r="C43" t="s">
        <v>95</v>
      </c>
      <c r="D43" t="s">
        <v>121</v>
      </c>
      <c r="E43" t="s">
        <v>138</v>
      </c>
      <c r="F43" t="s">
        <v>144</v>
      </c>
    </row>
    <row r="44" spans="1:16" x14ac:dyDescent="0.3">
      <c r="A44" s="9"/>
      <c r="B44" t="s">
        <v>40</v>
      </c>
      <c r="C44" t="s">
        <v>95</v>
      </c>
      <c r="D44" t="s">
        <v>121</v>
      </c>
      <c r="E44" t="s">
        <v>138</v>
      </c>
      <c r="F44" t="s">
        <v>152</v>
      </c>
    </row>
    <row r="45" spans="1:16" x14ac:dyDescent="0.3">
      <c r="A45" s="9"/>
      <c r="B45" t="s">
        <v>41</v>
      </c>
      <c r="C45" t="s">
        <v>96</v>
      </c>
      <c r="D45" t="s">
        <v>117</v>
      </c>
      <c r="E45" t="s">
        <v>138</v>
      </c>
      <c r="F45" t="s">
        <v>152</v>
      </c>
    </row>
    <row r="46" spans="1:16" x14ac:dyDescent="0.3">
      <c r="A46" s="9"/>
      <c r="B46" t="s">
        <v>42</v>
      </c>
      <c r="C46" t="s">
        <v>97</v>
      </c>
      <c r="D46" t="s">
        <v>117</v>
      </c>
      <c r="E46" t="s">
        <v>138</v>
      </c>
      <c r="F46" t="s">
        <v>152</v>
      </c>
    </row>
    <row r="47" spans="1:16" x14ac:dyDescent="0.3">
      <c r="A47" s="9"/>
      <c r="B47" t="s">
        <v>43</v>
      </c>
      <c r="C47" t="s">
        <v>98</v>
      </c>
      <c r="D47" t="s">
        <v>123</v>
      </c>
      <c r="E47" t="s">
        <v>138</v>
      </c>
      <c r="F47" t="s">
        <v>152</v>
      </c>
    </row>
    <row r="48" spans="1:16" x14ac:dyDescent="0.3">
      <c r="A48" s="9"/>
      <c r="B48" t="s">
        <v>44</v>
      </c>
      <c r="C48" t="s">
        <v>99</v>
      </c>
      <c r="D48" t="s">
        <v>117</v>
      </c>
      <c r="E48" t="s">
        <v>138</v>
      </c>
      <c r="F48" t="s">
        <v>152</v>
      </c>
    </row>
    <row r="49" spans="1:19" x14ac:dyDescent="0.3">
      <c r="A49" s="9"/>
      <c r="B49" t="s">
        <v>45</v>
      </c>
      <c r="C49" t="s">
        <v>100</v>
      </c>
      <c r="D49" t="s">
        <v>117</v>
      </c>
      <c r="E49" t="s">
        <v>138</v>
      </c>
      <c r="F49" t="s">
        <v>144</v>
      </c>
    </row>
    <row r="50" spans="1:19" x14ac:dyDescent="0.3">
      <c r="A50" s="9"/>
      <c r="B50" t="s">
        <v>46</v>
      </c>
      <c r="C50" t="s">
        <v>101</v>
      </c>
      <c r="D50" t="s">
        <v>121</v>
      </c>
      <c r="E50" t="s">
        <v>138</v>
      </c>
      <c r="F50" t="s">
        <v>152</v>
      </c>
    </row>
    <row r="51" spans="1:19" x14ac:dyDescent="0.3">
      <c r="A51" s="9"/>
      <c r="B51" t="s">
        <v>47</v>
      </c>
      <c r="C51" t="s">
        <v>102</v>
      </c>
      <c r="D51" t="s">
        <v>117</v>
      </c>
      <c r="E51" t="s">
        <v>138</v>
      </c>
      <c r="F51" t="s">
        <v>152</v>
      </c>
    </row>
    <row r="52" spans="1:19" x14ac:dyDescent="0.3">
      <c r="A52" s="9" t="s">
        <v>177</v>
      </c>
      <c r="B52" t="s">
        <v>38</v>
      </c>
      <c r="C52" t="s">
        <v>94</v>
      </c>
      <c r="D52" t="s">
        <v>117</v>
      </c>
      <c r="E52" t="s">
        <v>139</v>
      </c>
      <c r="F52" t="s">
        <v>156</v>
      </c>
    </row>
    <row r="53" spans="1:19" x14ac:dyDescent="0.3">
      <c r="A53" s="9"/>
      <c r="B53" t="s">
        <v>48</v>
      </c>
      <c r="C53" t="s">
        <v>103</v>
      </c>
      <c r="D53" t="s">
        <v>117</v>
      </c>
      <c r="E53" t="s">
        <v>138</v>
      </c>
      <c r="F53" t="s">
        <v>153</v>
      </c>
    </row>
    <row r="54" spans="1:19" x14ac:dyDescent="0.3">
      <c r="A54" s="9"/>
      <c r="B54" t="s">
        <v>49</v>
      </c>
      <c r="C54" t="s">
        <v>104</v>
      </c>
      <c r="D54" t="s">
        <v>118</v>
      </c>
      <c r="E54" t="s">
        <v>138</v>
      </c>
      <c r="F54" t="s">
        <v>154</v>
      </c>
    </row>
    <row r="55" spans="1:19" x14ac:dyDescent="0.3">
      <c r="A55" s="9"/>
      <c r="B55" t="s">
        <v>50</v>
      </c>
      <c r="C55" t="s">
        <v>105</v>
      </c>
      <c r="D55" t="s">
        <v>117</v>
      </c>
      <c r="E55" t="s">
        <v>139</v>
      </c>
      <c r="F55" t="s">
        <v>155</v>
      </c>
    </row>
    <row r="56" spans="1:19" x14ac:dyDescent="0.3">
      <c r="A56" s="9" t="s">
        <v>178</v>
      </c>
      <c r="B56" t="s">
        <v>51</v>
      </c>
      <c r="C56" t="s">
        <v>106</v>
      </c>
      <c r="D56" t="s">
        <v>121</v>
      </c>
      <c r="E56" t="s">
        <v>138</v>
      </c>
      <c r="F56" t="s">
        <v>157</v>
      </c>
      <c r="P56" s="2"/>
      <c r="S56" s="3"/>
    </row>
    <row r="57" spans="1:19" x14ac:dyDescent="0.3">
      <c r="A57" s="9"/>
      <c r="B57" t="s">
        <v>52</v>
      </c>
      <c r="C57" t="s">
        <v>107</v>
      </c>
      <c r="D57" t="s">
        <v>117</v>
      </c>
      <c r="E57" t="s">
        <v>138</v>
      </c>
      <c r="F57" t="s">
        <v>157</v>
      </c>
      <c r="P57" s="2"/>
      <c r="Q57">
        <f>150*1000</f>
        <v>150000</v>
      </c>
      <c r="R57">
        <f>150*1000</f>
        <v>150000</v>
      </c>
      <c r="S57" s="3"/>
    </row>
    <row r="58" spans="1:19" x14ac:dyDescent="0.3">
      <c r="A58" s="9"/>
      <c r="B58" t="s">
        <v>53</v>
      </c>
      <c r="C58" t="s">
        <v>108</v>
      </c>
      <c r="D58" t="s">
        <v>117</v>
      </c>
      <c r="E58" t="s">
        <v>138</v>
      </c>
      <c r="F58" t="s">
        <v>157</v>
      </c>
      <c r="P58" s="2"/>
      <c r="Q58">
        <f>Q57/33/1.732</f>
        <v>2624.3963888305689</v>
      </c>
      <c r="R58">
        <f>R57/132</f>
        <v>1136.3636363636363</v>
      </c>
      <c r="S58" s="3"/>
    </row>
    <row r="59" spans="1:19" x14ac:dyDescent="0.3">
      <c r="A59" s="9"/>
      <c r="B59" t="s">
        <v>54</v>
      </c>
      <c r="C59" t="s">
        <v>109</v>
      </c>
      <c r="D59" t="s">
        <v>117</v>
      </c>
      <c r="E59" t="s">
        <v>138</v>
      </c>
      <c r="F59" t="s">
        <v>157</v>
      </c>
      <c r="P59" s="2"/>
      <c r="Q59">
        <f>Q58*1.25</f>
        <v>3280.4954860382113</v>
      </c>
      <c r="R59">
        <f>R58*1.25</f>
        <v>1420.4545454545453</v>
      </c>
      <c r="S59" s="3"/>
    </row>
    <row r="60" spans="1:19" x14ac:dyDescent="0.3">
      <c r="A60" s="9"/>
      <c r="B60" t="s">
        <v>55</v>
      </c>
      <c r="C60" t="s">
        <v>110</v>
      </c>
      <c r="D60" t="s">
        <v>117</v>
      </c>
      <c r="E60" t="s">
        <v>138</v>
      </c>
      <c r="F60" t="s">
        <v>157</v>
      </c>
      <c r="P60" s="2"/>
      <c r="S60" s="3"/>
    </row>
    <row r="61" spans="1:19" x14ac:dyDescent="0.3">
      <c r="A61" s="9"/>
      <c r="B61" t="s">
        <v>56</v>
      </c>
      <c r="C61" t="s">
        <v>111</v>
      </c>
      <c r="D61" t="s">
        <v>117</v>
      </c>
      <c r="E61" t="s">
        <v>138</v>
      </c>
      <c r="F61" t="s">
        <v>157</v>
      </c>
      <c r="P61" s="2"/>
      <c r="S61" s="3"/>
    </row>
    <row r="62" spans="1:19" x14ac:dyDescent="0.3">
      <c r="A62" s="9"/>
      <c r="B62" t="s">
        <v>57</v>
      </c>
      <c r="C62" t="s">
        <v>112</v>
      </c>
      <c r="D62" t="s">
        <v>118</v>
      </c>
      <c r="E62" t="s">
        <v>138</v>
      </c>
      <c r="F62" t="s">
        <v>157</v>
      </c>
      <c r="P62" s="2"/>
      <c r="S62" s="3"/>
    </row>
    <row r="63" spans="1:19" ht="15" thickBot="1" x14ac:dyDescent="0.35">
      <c r="A63" s="9" t="s">
        <v>179</v>
      </c>
      <c r="B63" t="s">
        <v>58</v>
      </c>
      <c r="C63" t="s">
        <v>113</v>
      </c>
      <c r="D63" t="s">
        <v>117</v>
      </c>
      <c r="E63" t="s">
        <v>137</v>
      </c>
      <c r="F63" t="s">
        <v>158</v>
      </c>
      <c r="P63" s="4"/>
      <c r="Q63" s="5"/>
      <c r="R63" s="5"/>
      <c r="S63" s="6"/>
    </row>
    <row r="64" spans="1:19" x14ac:dyDescent="0.3">
      <c r="A64" s="9"/>
      <c r="B64" t="s">
        <v>59</v>
      </c>
      <c r="C64" t="s">
        <v>114</v>
      </c>
      <c r="D64" t="s">
        <v>124</v>
      </c>
      <c r="E64" t="s">
        <v>139</v>
      </c>
    </row>
    <row r="65" spans="1:6" x14ac:dyDescent="0.3">
      <c r="A65" s="9"/>
      <c r="B65" t="s">
        <v>60</v>
      </c>
      <c r="C65" t="s">
        <v>115</v>
      </c>
      <c r="D65" t="s">
        <v>124</v>
      </c>
      <c r="E65" t="s">
        <v>139</v>
      </c>
    </row>
    <row r="66" spans="1:6" x14ac:dyDescent="0.3">
      <c r="A66" s="9"/>
      <c r="B66" t="s">
        <v>61</v>
      </c>
      <c r="C66" t="s">
        <v>116</v>
      </c>
      <c r="D66" t="s">
        <v>124</v>
      </c>
      <c r="E66" t="s">
        <v>139</v>
      </c>
    </row>
    <row r="67" spans="1:6" x14ac:dyDescent="0.3">
      <c r="A67" s="9" t="s">
        <v>180</v>
      </c>
      <c r="B67" t="s">
        <v>159</v>
      </c>
      <c r="C67" t="s">
        <v>160</v>
      </c>
      <c r="D67" t="s">
        <v>117</v>
      </c>
      <c r="E67" t="s">
        <v>138</v>
      </c>
      <c r="F67" s="11" t="s">
        <v>161</v>
      </c>
    </row>
    <row r="68" spans="1:6" x14ac:dyDescent="0.3">
      <c r="A68" s="9"/>
      <c r="B68" t="s">
        <v>162</v>
      </c>
      <c r="C68" t="s">
        <v>163</v>
      </c>
      <c r="D68" t="s">
        <v>117</v>
      </c>
      <c r="E68" t="s">
        <v>138</v>
      </c>
      <c r="F68" s="11"/>
    </row>
    <row r="69" spans="1:6" x14ac:dyDescent="0.3">
      <c r="A69" s="9"/>
      <c r="B69" t="s">
        <v>170</v>
      </c>
      <c r="C69" t="s">
        <v>164</v>
      </c>
      <c r="D69" t="s">
        <v>117</v>
      </c>
      <c r="E69" t="s">
        <v>138</v>
      </c>
      <c r="F69" s="11"/>
    </row>
    <row r="70" spans="1:6" x14ac:dyDescent="0.3">
      <c r="A70" s="9"/>
      <c r="B70" t="s">
        <v>165</v>
      </c>
      <c r="C70" t="s">
        <v>166</v>
      </c>
      <c r="D70" t="s">
        <v>167</v>
      </c>
      <c r="E70" t="s">
        <v>138</v>
      </c>
      <c r="F70" s="11"/>
    </row>
    <row r="71" spans="1:6" x14ac:dyDescent="0.3">
      <c r="A71" s="9"/>
      <c r="B71" t="s">
        <v>168</v>
      </c>
      <c r="C71" t="s">
        <v>169</v>
      </c>
      <c r="D71" t="s">
        <v>117</v>
      </c>
      <c r="E71" t="s">
        <v>138</v>
      </c>
      <c r="F71" s="11"/>
    </row>
  </sheetData>
  <sortState xmlns:xlrd2="http://schemas.microsoft.com/office/spreadsheetml/2017/richdata2" ref="N1:P35">
    <sortCondition ref="P1:P35"/>
  </sortState>
  <mergeCells count="11">
    <mergeCell ref="A52:A55"/>
    <mergeCell ref="A56:A62"/>
    <mergeCell ref="A63:A66"/>
    <mergeCell ref="F67:F71"/>
    <mergeCell ref="A67:A71"/>
    <mergeCell ref="A43:A51"/>
    <mergeCell ref="A2:A3"/>
    <mergeCell ref="A4:A13"/>
    <mergeCell ref="A14:A19"/>
    <mergeCell ref="A20:A25"/>
    <mergeCell ref="A26:A42"/>
  </mergeCells>
  <dataValidations count="2">
    <dataValidation type="list" allowBlank="1" showInputMessage="1" showErrorMessage="1" sqref="E2:E66" xr:uid="{AA0EA04B-A288-4FE1-87C0-6ED14876698B}">
      <formula1>$K$2:$K$4</formula1>
    </dataValidation>
    <dataValidation type="list" allowBlank="1" showInputMessage="1" showErrorMessage="1" sqref="E67:E71" xr:uid="{08046118-1790-4587-9F4B-2AB0569C1645}">
      <formula1>$J$2:$J$4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CA54-6D61-4DE8-A096-DDB4F5320095}">
  <dimension ref="A1:M56"/>
  <sheetViews>
    <sheetView tabSelected="1" workbookViewId="0">
      <selection activeCell="A44" sqref="A44:A51"/>
    </sheetView>
  </sheetViews>
  <sheetFormatPr defaultRowHeight="14.4" x14ac:dyDescent="0.3"/>
  <cols>
    <col min="1" max="1" width="43.5546875" customWidth="1"/>
  </cols>
  <sheetData>
    <row r="1" spans="1:5" x14ac:dyDescent="0.3">
      <c r="A1" t="s">
        <v>227</v>
      </c>
    </row>
    <row r="3" spans="1:5" x14ac:dyDescent="0.3">
      <c r="A3" t="s">
        <v>192</v>
      </c>
      <c r="B3" t="s">
        <v>189</v>
      </c>
      <c r="C3" t="s">
        <v>225</v>
      </c>
    </row>
    <row r="4" spans="1:5" x14ac:dyDescent="0.3">
      <c r="A4" t="s">
        <v>193</v>
      </c>
      <c r="B4" t="s">
        <v>189</v>
      </c>
      <c r="C4" t="s">
        <v>225</v>
      </c>
    </row>
    <row r="5" spans="1:5" x14ac:dyDescent="0.3">
      <c r="A5" t="s">
        <v>216</v>
      </c>
      <c r="B5" t="s">
        <v>219</v>
      </c>
      <c r="C5" t="s">
        <v>225</v>
      </c>
    </row>
    <row r="6" spans="1:5" x14ac:dyDescent="0.3">
      <c r="A6" t="s">
        <v>217</v>
      </c>
      <c r="B6">
        <v>630</v>
      </c>
      <c r="C6" t="s">
        <v>225</v>
      </c>
    </row>
    <row r="7" spans="1:5" x14ac:dyDescent="0.3">
      <c r="A7" t="s">
        <v>186</v>
      </c>
      <c r="B7">
        <v>4</v>
      </c>
      <c r="C7" t="s">
        <v>223</v>
      </c>
    </row>
    <row r="8" spans="1:5" x14ac:dyDescent="0.3">
      <c r="A8" t="s">
        <v>187</v>
      </c>
      <c r="B8">
        <v>800</v>
      </c>
      <c r="C8" t="s">
        <v>223</v>
      </c>
    </row>
    <row r="9" spans="1:5" x14ac:dyDescent="0.3">
      <c r="A9" t="s">
        <v>188</v>
      </c>
      <c r="B9">
        <v>184.04</v>
      </c>
      <c r="C9" t="s">
        <v>223</v>
      </c>
    </row>
    <row r="10" spans="1:5" x14ac:dyDescent="0.3">
      <c r="A10" t="s">
        <v>190</v>
      </c>
      <c r="B10">
        <v>4</v>
      </c>
      <c r="C10" t="s">
        <v>223</v>
      </c>
    </row>
    <row r="11" spans="1:5" x14ac:dyDescent="0.3">
      <c r="A11" t="s">
        <v>191</v>
      </c>
      <c r="B11">
        <v>1</v>
      </c>
      <c r="C11" t="s">
        <v>223</v>
      </c>
    </row>
    <row r="12" spans="1:5" x14ac:dyDescent="0.3">
      <c r="A12" t="s">
        <v>194</v>
      </c>
      <c r="B12">
        <v>1</v>
      </c>
      <c r="C12" t="s">
        <v>223</v>
      </c>
    </row>
    <row r="13" spans="1:5" x14ac:dyDescent="0.3">
      <c r="A13" t="s">
        <v>195</v>
      </c>
      <c r="B13">
        <v>800</v>
      </c>
      <c r="C13" t="s">
        <v>223</v>
      </c>
    </row>
    <row r="14" spans="1:5" x14ac:dyDescent="0.3">
      <c r="A14" t="s">
        <v>196</v>
      </c>
      <c r="B14">
        <v>736.14</v>
      </c>
      <c r="C14" t="s">
        <v>223</v>
      </c>
      <c r="D14">
        <f>(B28*1000)/(B13*1.732/1000)</f>
        <v>454676.67436489608</v>
      </c>
      <c r="E14">
        <f>D14*11*1.732</f>
        <v>8662500</v>
      </c>
    </row>
    <row r="15" spans="1:5" x14ac:dyDescent="0.3">
      <c r="A15" t="s">
        <v>197</v>
      </c>
      <c r="B15">
        <v>11000</v>
      </c>
      <c r="C15" t="s">
        <v>223</v>
      </c>
    </row>
    <row r="16" spans="1:5" x14ac:dyDescent="0.3">
      <c r="A16" t="s">
        <v>199</v>
      </c>
      <c r="B16">
        <v>1</v>
      </c>
      <c r="C16" t="s">
        <v>223</v>
      </c>
    </row>
    <row r="17" spans="1:13" x14ac:dyDescent="0.3">
      <c r="A17" t="s">
        <v>200</v>
      </c>
      <c r="B17">
        <v>11000</v>
      </c>
      <c r="C17" t="s">
        <v>223</v>
      </c>
    </row>
    <row r="18" spans="1:13" x14ac:dyDescent="0.3">
      <c r="A18" t="s">
        <v>202</v>
      </c>
      <c r="B18">
        <v>33000</v>
      </c>
      <c r="C18" t="s">
        <v>223</v>
      </c>
      <c r="M18">
        <f>601*21*0.585</f>
        <v>7383.2849999999999</v>
      </c>
    </row>
    <row r="19" spans="1:13" x14ac:dyDescent="0.3">
      <c r="A19" t="s">
        <v>208</v>
      </c>
      <c r="B19">
        <v>100</v>
      </c>
      <c r="C19" t="s">
        <v>223</v>
      </c>
      <c r="M19">
        <f>M18/5</f>
        <v>1476.6569999999999</v>
      </c>
    </row>
    <row r="20" spans="1:13" x14ac:dyDescent="0.3">
      <c r="A20" t="s">
        <v>209</v>
      </c>
      <c r="B20">
        <v>35</v>
      </c>
      <c r="C20" t="s">
        <v>223</v>
      </c>
    </row>
    <row r="21" spans="1:13" x14ac:dyDescent="0.3">
      <c r="A21" t="s">
        <v>210</v>
      </c>
      <c r="B21">
        <v>100</v>
      </c>
      <c r="C21" t="s">
        <v>223</v>
      </c>
    </row>
    <row r="22" spans="1:13" x14ac:dyDescent="0.3">
      <c r="A22" t="s">
        <v>211</v>
      </c>
      <c r="B22">
        <v>35</v>
      </c>
      <c r="C22" t="s">
        <v>223</v>
      </c>
    </row>
    <row r="23" spans="1:13" x14ac:dyDescent="0.3">
      <c r="A23" t="s">
        <v>212</v>
      </c>
      <c r="B23">
        <v>1.02</v>
      </c>
      <c r="C23" t="s">
        <v>223</v>
      </c>
    </row>
    <row r="24" spans="1:13" x14ac:dyDescent="0.3">
      <c r="A24" t="s">
        <v>213</v>
      </c>
      <c r="B24">
        <v>6</v>
      </c>
      <c r="C24" t="s">
        <v>223</v>
      </c>
    </row>
    <row r="25" spans="1:13" x14ac:dyDescent="0.3">
      <c r="A25" t="s">
        <v>218</v>
      </c>
      <c r="B25" t="s">
        <v>219</v>
      </c>
      <c r="C25" t="s">
        <v>223</v>
      </c>
    </row>
    <row r="26" spans="1:13" x14ac:dyDescent="0.3">
      <c r="A26" t="s">
        <v>220</v>
      </c>
      <c r="B26">
        <v>630</v>
      </c>
      <c r="C26" t="s">
        <v>223</v>
      </c>
    </row>
    <row r="27" spans="1:13" x14ac:dyDescent="0.3">
      <c r="A27" t="s">
        <v>221</v>
      </c>
      <c r="B27" t="s">
        <v>219</v>
      </c>
      <c r="C27" t="s">
        <v>223</v>
      </c>
    </row>
    <row r="28" spans="1:13" x14ac:dyDescent="0.3">
      <c r="A28" t="s">
        <v>222</v>
      </c>
      <c r="B28">
        <v>630</v>
      </c>
      <c r="C28" t="s">
        <v>223</v>
      </c>
    </row>
    <row r="29" spans="1:13" x14ac:dyDescent="0.3">
      <c r="A29" t="s">
        <v>198</v>
      </c>
      <c r="B29">
        <v>0.05</v>
      </c>
      <c r="C29" t="s">
        <v>226</v>
      </c>
    </row>
    <row r="30" spans="1:13" x14ac:dyDescent="0.3">
      <c r="A30" t="s">
        <v>201</v>
      </c>
      <c r="B30">
        <v>0.05</v>
      </c>
      <c r="C30" t="s">
        <v>226</v>
      </c>
    </row>
    <row r="31" spans="1:13" x14ac:dyDescent="0.3">
      <c r="A31" t="s">
        <v>203</v>
      </c>
      <c r="B31">
        <v>0.02</v>
      </c>
      <c r="C31" t="s">
        <v>226</v>
      </c>
    </row>
    <row r="32" spans="1:13" x14ac:dyDescent="0.3">
      <c r="A32" t="s">
        <v>204</v>
      </c>
      <c r="B32">
        <v>50</v>
      </c>
      <c r="C32" t="s">
        <v>226</v>
      </c>
    </row>
    <row r="33" spans="1:3" x14ac:dyDescent="0.3">
      <c r="A33" t="s">
        <v>205</v>
      </c>
      <c r="B33">
        <v>16</v>
      </c>
      <c r="C33" t="s">
        <v>226</v>
      </c>
    </row>
    <row r="34" spans="1:3" x14ac:dyDescent="0.3">
      <c r="A34" t="s">
        <v>206</v>
      </c>
      <c r="B34">
        <v>200</v>
      </c>
      <c r="C34" t="s">
        <v>226</v>
      </c>
    </row>
    <row r="35" spans="1:3" x14ac:dyDescent="0.3">
      <c r="A35" t="s">
        <v>207</v>
      </c>
      <c r="B35">
        <v>95</v>
      </c>
      <c r="C35" t="s">
        <v>226</v>
      </c>
    </row>
    <row r="36" spans="1:3" x14ac:dyDescent="0.3">
      <c r="A36" t="s">
        <v>214</v>
      </c>
      <c r="B36">
        <v>1000</v>
      </c>
      <c r="C36" t="s">
        <v>226</v>
      </c>
    </row>
    <row r="37" spans="1:3" x14ac:dyDescent="0.3">
      <c r="A37" t="s">
        <v>215</v>
      </c>
      <c r="B37">
        <v>63</v>
      </c>
      <c r="C37" t="s">
        <v>226</v>
      </c>
    </row>
    <row r="38" spans="1:3" x14ac:dyDescent="0.3">
      <c r="A38" t="s">
        <v>228</v>
      </c>
    </row>
    <row r="39" spans="1:3" x14ac:dyDescent="0.3">
      <c r="A39" t="s">
        <v>229</v>
      </c>
    </row>
    <row r="44" spans="1:3" x14ac:dyDescent="0.3">
      <c r="A44" s="7" t="s">
        <v>230</v>
      </c>
      <c r="B44" t="s">
        <v>231</v>
      </c>
    </row>
    <row r="45" spans="1:3" x14ac:dyDescent="0.3">
      <c r="A45" s="7" t="s">
        <v>208</v>
      </c>
      <c r="B45">
        <v>300</v>
      </c>
    </row>
    <row r="46" spans="1:3" x14ac:dyDescent="0.3">
      <c r="A46" s="7" t="s">
        <v>209</v>
      </c>
      <c r="B46" t="s">
        <v>231</v>
      </c>
    </row>
    <row r="47" spans="1:3" x14ac:dyDescent="0.3">
      <c r="A47" s="7" t="s">
        <v>210</v>
      </c>
      <c r="B47">
        <v>500</v>
      </c>
    </row>
    <row r="48" spans="1:3" x14ac:dyDescent="0.3">
      <c r="A48" s="7" t="s">
        <v>211</v>
      </c>
      <c r="B48" t="s">
        <v>232</v>
      </c>
    </row>
    <row r="49" spans="1:2" x14ac:dyDescent="0.3">
      <c r="A49" s="7" t="s">
        <v>233</v>
      </c>
      <c r="B49" t="s">
        <v>219</v>
      </c>
    </row>
    <row r="50" spans="1:2" x14ac:dyDescent="0.3">
      <c r="A50" s="7" t="s">
        <v>234</v>
      </c>
      <c r="B50">
        <v>1250</v>
      </c>
    </row>
    <row r="51" spans="1:2" x14ac:dyDescent="0.3">
      <c r="A51" s="7" t="s">
        <v>218</v>
      </c>
      <c r="B51" t="s">
        <v>219</v>
      </c>
    </row>
    <row r="54" spans="1:2" x14ac:dyDescent="0.3">
      <c r="A54" s="7"/>
    </row>
    <row r="55" spans="1:2" x14ac:dyDescent="0.3">
      <c r="A55" s="7"/>
    </row>
    <row r="56" spans="1:2" x14ac:dyDescent="0.3">
      <c r="A56" s="7"/>
    </row>
  </sheetData>
  <sortState xmlns:xlrd2="http://schemas.microsoft.com/office/spreadsheetml/2017/richdata2" ref="A3:C37">
    <sortCondition ref="C3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Mandal</dc:creator>
  <cp:lastModifiedBy>Amrit Mandal</cp:lastModifiedBy>
  <dcterms:created xsi:type="dcterms:W3CDTF">2025-07-26T18:33:48Z</dcterms:created>
  <dcterms:modified xsi:type="dcterms:W3CDTF">2025-09-18T19:47:48Z</dcterms:modified>
</cp:coreProperties>
</file>